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denharting/Downloads/"/>
    </mc:Choice>
  </mc:AlternateContent>
  <xr:revisionPtr revIDLastSave="0" documentId="13_ncr:1_{99CBF770-017B-5747-B236-A4FD6C19D2F3}" xr6:coauthVersionLast="47" xr6:coauthVersionMax="47" xr10:uidLastSave="{00000000-0000-0000-0000-000000000000}"/>
  <bookViews>
    <workbookView xWindow="2580" yWindow="760" windowWidth="31980" windowHeight="20020" xr2:uid="{00000000-000D-0000-FFFF-FFFF00000000}"/>
  </bookViews>
  <sheets>
    <sheet name="Scoring Sheet" sheetId="1" r:id="rId1"/>
  </sheets>
  <definedNames>
    <definedName name="_xlnm._FilterDatabase" localSheetId="0" hidden="1">'Scoring Sheet'!$A$1:$F$25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</calcChain>
</file>

<file path=xl/sharedStrings.xml><?xml version="1.0" encoding="utf-8"?>
<sst xmlns="http://schemas.openxmlformats.org/spreadsheetml/2006/main" count="113" uniqueCount="53">
  <si>
    <t>Test #</t>
  </si>
  <si>
    <t>Document</t>
  </si>
  <si>
    <t>Task Type</t>
  </si>
  <si>
    <t>Prompt</t>
  </si>
  <si>
    <t>Result</t>
  </si>
  <si>
    <t>Notes</t>
  </si>
  <si>
    <t>01_community_garden_maintenance_services_agreement.txt</t>
  </si>
  <si>
    <t>Retrieval</t>
  </si>
  <si>
    <t>Find the clause describing how either party may terminate the maintenance services agreement.</t>
  </si>
  <si>
    <t>Grounded QA</t>
  </si>
  <si>
    <t>What payment schedule does the agreement require for routine garden maintenance services?</t>
  </si>
  <si>
    <t>Summarization / Extraction</t>
  </si>
  <si>
    <t>Summarize the contractor's core maintenance obligations for the garden site.</t>
  </si>
  <si>
    <t>02_seed_supplier_confidentiality_and_trial_data_agreement.txt</t>
  </si>
  <si>
    <t>Find the section that lists exceptions to confidentiality.</t>
  </si>
  <si>
    <t>Under what circumstances may confidential seed trial data be disclosed?</t>
  </si>
  <si>
    <t>03_landscape_and_irrigation_contractor_agreement.txt</t>
  </si>
  <si>
    <t>Find the indemnification provision in the irrigation contractor agreement.</t>
  </si>
  <si>
    <t>Is the contractor required to maintain insurance, and if so what type of coverage is referenced?</t>
  </si>
  <si>
    <t>Extract the key contractor obligations related to timeline, installation responsibilities, and site cleanup.</t>
  </si>
  <si>
    <t>04_vacant_lot_community_garden_use_agreement.txt</t>
  </si>
  <si>
    <t>Find the section that explains what the lot may be used for.</t>
  </si>
  <si>
    <t>Find the clause about renewal or expiration of the garden lot use agreement.</t>
  </si>
  <si>
    <t>Who is responsible for routine upkeep of the lot under the agreement?</t>
  </si>
  <si>
    <t>05_deposition_of_garden_program_coordinator.txt</t>
  </si>
  <si>
    <t>Find the testimony where the coordinator discusses who had access to the locked tool shed.</t>
  </si>
  <si>
    <t>What did the coordinator say about when volunteers were first warned about restricted storage areas?</t>
  </si>
  <si>
    <t>Summarize the coordinator's testimony about site access, volunteer supervision, and any prior warnings.</t>
  </si>
  <si>
    <t>06_deposition_of_property_owner_near_garden_site.txt</t>
  </si>
  <si>
    <t>Find the testimony describing complaints about runoff or water flow.</t>
  </si>
  <si>
    <t>Did the property owner testify that notice was given before the fence installation, and to whom?</t>
  </si>
  <si>
    <t>07_volunteer_witness_affidavit.txt</t>
  </si>
  <si>
    <t>Find the part of the affidavit discussing pesticide or chemical storage.</t>
  </si>
  <si>
    <t>According to the affidavit, who was present during the weekend work activity described by the witness?</t>
  </si>
  <si>
    <t>08_complaint_regarding_damage_to_adjacent_property.txt</t>
  </si>
  <si>
    <t>Find the allegations that describe how the neighboring property was allegedly damaged.</t>
  </si>
  <si>
    <t>What relief does the complaint request from the court?</t>
  </si>
  <si>
    <t>Summarize the complaint's main factual allegations and requested relief.</t>
  </si>
  <si>
    <t>09_motion_for_preliminary_relief_concerning_garden_site_access.txt</t>
  </si>
  <si>
    <t>Find the section of the motion that explains why immediate relief is being requested.</t>
  </si>
  <si>
    <t>Summarize the motion's argument for preliminary relief in plain language.</t>
  </si>
  <si>
    <t>10_dekalb_community_garden_safety_and_volunteer_procedures_manual.txt</t>
  </si>
  <si>
    <t>Extract the key rules for incident reporting, tool storage, and volunteer supervision from the procedures manual.</t>
  </si>
  <si>
    <t>Fail</t>
  </si>
  <si>
    <t>Pass</t>
  </si>
  <si>
    <t>Fail on first run when run subsequently after initial prompt, reloading the app fixed this issue</t>
  </si>
  <si>
    <t>Partial</t>
  </si>
  <si>
    <t>Correct but missed some details</t>
  </si>
  <si>
    <t>Same issue as test one, fixed upon reload</t>
  </si>
  <si>
    <t>given pass as correct citations were provided, but omitted some dates in summary</t>
  </si>
  <si>
    <t>Made a counting error but the evidence was correct</t>
  </si>
  <si>
    <t>Did not retreive information on standard or discovery mode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</si>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</sst>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ptos"/>
    </font>
    <font>
      <sz val="12"/>
      <name val="Aptos"/>
    </font>
    <font>
      <sz val="12"/>
      <color theme="1"/>
      <name val="Aptos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7FBFF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4" fillId="0" borderId="0" xfId="0" applyFont="1"/>
    <xf numFmtId="0" fontId="5" fillId="4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'Scoring Sheet'!$J$3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'Scoring Sheet'!$I$4:$I$6</c:f>
              <c:strCache>
                <c:ptCount val="3"/>
                <c:pt idx="0">
                  <c:v>Pass</c:v>
                </c:pt>
                <c:pt idx="1">
                  <c:v>Partial</c:v>
                </c:pt>
                <c:pt idx="2">
                  <c:v>Fail</c:v>
                </c:pt>
              </c:strCache>
            </c:strRef>
          </c:cat>
          <c:val>
            <c:numRef>
              <c:f>'Scoring Sheet'!$J$4:$J$6</c:f>
              <c:numCache>
                <c:formatCode>General</c:formatCode>
                <c:ptCount val="3"/>
                <c:pt idx="0">
                  <c:v>22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5-8541-9634-B903E8189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2</xdr:row>
      <xdr:rowOff>0</xdr:rowOff>
    </xdr:from>
    <xdr:to>
      <xdr:col>14</xdr:col>
      <xdr:colOff>596900</xdr:colOff>
      <xdr:row>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966F40-E741-4C17-3179-42F86CF72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AA17" sqref="AA17"/>
    </sheetView>
  </sheetViews>
  <sheetFormatPr baseColWidth="10" defaultColWidth="8.83203125" defaultRowHeight="15" x14ac:dyDescent="0.2"/>
  <cols>
    <col min="1" max="1" width="9" customWidth="1"/>
    <col min="2" max="2" width="44" customWidth="1"/>
    <col min="3" max="3" width="20" customWidth="1"/>
    <col min="4" max="4" width="72" customWidth="1"/>
    <col min="5" max="5" width="14" customWidth="1"/>
    <col min="6" max="6" width="45.1640625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36" customHeight="1" x14ac:dyDescent="0.2">
      <c r="A2" s="2">
        <v>1</v>
      </c>
      <c r="B2" s="3" t="s">
        <v>6</v>
      </c>
      <c r="C2" s="3" t="s">
        <v>7</v>
      </c>
      <c r="D2" s="4" t="s">
        <v>8</v>
      </c>
      <c r="E2" s="3" t="s">
        <v>44</v>
      </c>
      <c r="F2" s="4"/>
      <c r="I2" s="9"/>
      <c r="J2" s="9"/>
    </row>
    <row r="3" spans="1:10" ht="36" customHeight="1" x14ac:dyDescent="0.2">
      <c r="A3" s="5">
        <v>2</v>
      </c>
      <c r="B3" s="6" t="s">
        <v>6</v>
      </c>
      <c r="C3" s="6" t="s">
        <v>9</v>
      </c>
      <c r="D3" s="7" t="s">
        <v>10</v>
      </c>
      <c r="E3" s="6" t="s">
        <v>44</v>
      </c>
      <c r="F3" s="7" t="s">
        <v>45</v>
      </c>
      <c r="I3" s="10" t="s">
        <v>4</v>
      </c>
      <c r="J3" s="10" t="s">
        <v>52</v>
      </c>
    </row>
    <row r="4" spans="1:10" ht="36" customHeight="1" x14ac:dyDescent="0.25">
      <c r="A4" s="2">
        <v>3</v>
      </c>
      <c r="B4" s="3" t="s">
        <v>6</v>
      </c>
      <c r="C4" s="3" t="s">
        <v>11</v>
      </c>
      <c r="D4" s="4" t="s">
        <v>12</v>
      </c>
      <c r="E4" s="3" t="s">
        <v>44</v>
      </c>
      <c r="F4" s="4"/>
      <c r="I4" s="10" t="s">
        <v>44</v>
      </c>
      <c r="J4" s="11">
        <f>COUNTIF(E:E,"Pass")</f>
        <v>22</v>
      </c>
    </row>
    <row r="5" spans="1:10" ht="36" customHeight="1" x14ac:dyDescent="0.25">
      <c r="A5" s="5">
        <v>4</v>
      </c>
      <c r="B5" s="6" t="s">
        <v>13</v>
      </c>
      <c r="C5" s="6" t="s">
        <v>7</v>
      </c>
      <c r="D5" s="7" t="s">
        <v>14</v>
      </c>
      <c r="E5" s="6" t="s">
        <v>44</v>
      </c>
      <c r="F5" s="7"/>
      <c r="I5" s="10" t="s">
        <v>46</v>
      </c>
      <c r="J5" s="11">
        <f>COUNTIF(E:E,"Partial")</f>
        <v>1</v>
      </c>
    </row>
    <row r="6" spans="1:10" ht="36" customHeight="1" x14ac:dyDescent="0.25">
      <c r="A6" s="2">
        <v>5</v>
      </c>
      <c r="B6" s="3" t="s">
        <v>13</v>
      </c>
      <c r="C6" s="3" t="s">
        <v>9</v>
      </c>
      <c r="D6" s="4" t="s">
        <v>15</v>
      </c>
      <c r="E6" s="3" t="s">
        <v>46</v>
      </c>
      <c r="F6" s="4" t="s">
        <v>47</v>
      </c>
      <c r="I6" s="10" t="s">
        <v>43</v>
      </c>
      <c r="J6" s="11">
        <f>COUNTIF(E:E,"Fail")</f>
        <v>1</v>
      </c>
    </row>
    <row r="7" spans="1:10" ht="36" customHeight="1" x14ac:dyDescent="0.2">
      <c r="A7" s="5">
        <v>6</v>
      </c>
      <c r="B7" s="6" t="s">
        <v>16</v>
      </c>
      <c r="C7" s="6" t="s">
        <v>7</v>
      </c>
      <c r="D7" s="7" t="s">
        <v>17</v>
      </c>
      <c r="E7" s="6" t="s">
        <v>44</v>
      </c>
      <c r="F7" s="7"/>
    </row>
    <row r="8" spans="1:10" ht="36" customHeight="1" x14ac:dyDescent="0.2">
      <c r="A8" s="2">
        <v>7</v>
      </c>
      <c r="B8" s="3" t="s">
        <v>16</v>
      </c>
      <c r="C8" s="3" t="s">
        <v>9</v>
      </c>
      <c r="D8" s="4" t="s">
        <v>18</v>
      </c>
      <c r="E8" s="3" t="s">
        <v>44</v>
      </c>
      <c r="F8" s="4" t="s">
        <v>48</v>
      </c>
    </row>
    <row r="9" spans="1:10" ht="36" customHeight="1" x14ac:dyDescent="0.2">
      <c r="A9" s="5">
        <v>8</v>
      </c>
      <c r="B9" s="6" t="s">
        <v>16</v>
      </c>
      <c r="C9" s="6" t="s">
        <v>11</v>
      </c>
      <c r="D9" s="7" t="s">
        <v>19</v>
      </c>
      <c r="E9" s="8" t="s">
        <v>44</v>
      </c>
      <c r="F9" s="7"/>
    </row>
    <row r="10" spans="1:10" ht="36" customHeight="1" x14ac:dyDescent="0.2">
      <c r="A10" s="2">
        <v>9</v>
      </c>
      <c r="B10" s="3" t="s">
        <v>20</v>
      </c>
      <c r="C10" s="3" t="s">
        <v>7</v>
      </c>
      <c r="D10" s="4" t="s">
        <v>21</v>
      </c>
      <c r="E10" s="8" t="s">
        <v>44</v>
      </c>
      <c r="F10" s="4"/>
    </row>
    <row r="11" spans="1:10" ht="36" customHeight="1" x14ac:dyDescent="0.2">
      <c r="A11" s="5">
        <v>10</v>
      </c>
      <c r="B11" s="6" t="s">
        <v>20</v>
      </c>
      <c r="C11" s="6" t="s">
        <v>7</v>
      </c>
      <c r="D11" s="7" t="s">
        <v>22</v>
      </c>
      <c r="E11" s="8" t="s">
        <v>44</v>
      </c>
      <c r="F11" s="7" t="s">
        <v>49</v>
      </c>
    </row>
    <row r="12" spans="1:10" ht="36" customHeight="1" x14ac:dyDescent="0.2">
      <c r="A12" s="2">
        <v>11</v>
      </c>
      <c r="B12" s="3" t="s">
        <v>20</v>
      </c>
      <c r="C12" s="3" t="s">
        <v>9</v>
      </c>
      <c r="D12" s="4" t="s">
        <v>23</v>
      </c>
      <c r="E12" s="8" t="s">
        <v>44</v>
      </c>
      <c r="F12" s="4"/>
    </row>
    <row r="13" spans="1:10" ht="36" customHeight="1" x14ac:dyDescent="0.2">
      <c r="A13" s="5">
        <v>12</v>
      </c>
      <c r="B13" s="6" t="s">
        <v>24</v>
      </c>
      <c r="C13" s="6" t="s">
        <v>7</v>
      </c>
      <c r="D13" s="7" t="s">
        <v>25</v>
      </c>
      <c r="E13" s="6" t="s">
        <v>44</v>
      </c>
      <c r="F13" s="7"/>
    </row>
    <row r="14" spans="1:10" ht="36" customHeight="1" x14ac:dyDescent="0.2">
      <c r="A14" s="2">
        <v>13</v>
      </c>
      <c r="B14" s="3" t="s">
        <v>24</v>
      </c>
      <c r="C14" s="3" t="s">
        <v>9</v>
      </c>
      <c r="D14" s="4" t="s">
        <v>26</v>
      </c>
      <c r="E14" s="3" t="s">
        <v>44</v>
      </c>
      <c r="F14" s="4"/>
    </row>
    <row r="15" spans="1:10" ht="36" customHeight="1" x14ac:dyDescent="0.2">
      <c r="A15" s="5">
        <v>14</v>
      </c>
      <c r="B15" s="6" t="s">
        <v>24</v>
      </c>
      <c r="C15" s="6" t="s">
        <v>11</v>
      </c>
      <c r="D15" s="7" t="s">
        <v>27</v>
      </c>
      <c r="E15" s="6" t="s">
        <v>44</v>
      </c>
      <c r="F15" s="7"/>
    </row>
    <row r="16" spans="1:10" ht="36" customHeight="1" x14ac:dyDescent="0.2">
      <c r="A16" s="2">
        <v>15</v>
      </c>
      <c r="B16" s="3" t="s">
        <v>28</v>
      </c>
      <c r="C16" s="3" t="s">
        <v>7</v>
      </c>
      <c r="D16" s="4" t="s">
        <v>29</v>
      </c>
      <c r="E16" s="3" t="s">
        <v>44</v>
      </c>
      <c r="F16" s="4"/>
    </row>
    <row r="17" spans="1:6" ht="36" customHeight="1" x14ac:dyDescent="0.2">
      <c r="A17" s="5">
        <v>16</v>
      </c>
      <c r="B17" s="6" t="s">
        <v>28</v>
      </c>
      <c r="C17" s="6" t="s">
        <v>9</v>
      </c>
      <c r="D17" s="7" t="s">
        <v>30</v>
      </c>
      <c r="E17" s="6" t="s">
        <v>44</v>
      </c>
      <c r="F17" s="7"/>
    </row>
    <row r="18" spans="1:6" ht="36" customHeight="1" x14ac:dyDescent="0.2">
      <c r="A18" s="2">
        <v>17</v>
      </c>
      <c r="B18" s="3" t="s">
        <v>31</v>
      </c>
      <c r="C18" s="3" t="s">
        <v>7</v>
      </c>
      <c r="D18" s="4" t="s">
        <v>32</v>
      </c>
      <c r="E18" s="3" t="s">
        <v>43</v>
      </c>
      <c r="F18" s="4" t="s">
        <v>51</v>
      </c>
    </row>
    <row r="19" spans="1:6" ht="36" customHeight="1" x14ac:dyDescent="0.2">
      <c r="A19" s="5">
        <v>18</v>
      </c>
      <c r="B19" s="6" t="s">
        <v>31</v>
      </c>
      <c r="C19" s="6" t="s">
        <v>9</v>
      </c>
      <c r="D19" s="7" t="s">
        <v>33</v>
      </c>
      <c r="E19" s="6" t="s">
        <v>44</v>
      </c>
      <c r="F19" s="7"/>
    </row>
    <row r="20" spans="1:6" ht="36" customHeight="1" x14ac:dyDescent="0.2">
      <c r="A20" s="2">
        <v>19</v>
      </c>
      <c r="B20" s="3" t="s">
        <v>34</v>
      </c>
      <c r="C20" s="3" t="s">
        <v>7</v>
      </c>
      <c r="D20" s="4" t="s">
        <v>35</v>
      </c>
      <c r="E20" s="3" t="s">
        <v>44</v>
      </c>
      <c r="F20" s="4" t="s">
        <v>50</v>
      </c>
    </row>
    <row r="21" spans="1:6" ht="36" customHeight="1" x14ac:dyDescent="0.2">
      <c r="A21" s="5">
        <v>20</v>
      </c>
      <c r="B21" s="6" t="s">
        <v>34</v>
      </c>
      <c r="C21" s="6" t="s">
        <v>9</v>
      </c>
      <c r="D21" s="7" t="s">
        <v>36</v>
      </c>
      <c r="E21" s="6" t="s">
        <v>44</v>
      </c>
      <c r="F21" s="7"/>
    </row>
    <row r="22" spans="1:6" ht="36" customHeight="1" x14ac:dyDescent="0.2">
      <c r="A22" s="2">
        <v>21</v>
      </c>
      <c r="B22" s="3" t="s">
        <v>34</v>
      </c>
      <c r="C22" s="3" t="s">
        <v>11</v>
      </c>
      <c r="D22" s="4" t="s">
        <v>37</v>
      </c>
      <c r="E22" s="3" t="s">
        <v>44</v>
      </c>
      <c r="F22" s="4"/>
    </row>
    <row r="23" spans="1:6" ht="36" customHeight="1" x14ac:dyDescent="0.2">
      <c r="A23" s="5">
        <v>22</v>
      </c>
      <c r="B23" s="6" t="s">
        <v>38</v>
      </c>
      <c r="C23" s="6" t="s">
        <v>7</v>
      </c>
      <c r="D23" s="7" t="s">
        <v>39</v>
      </c>
      <c r="E23" s="6" t="s">
        <v>44</v>
      </c>
      <c r="F23" s="7"/>
    </row>
    <row r="24" spans="1:6" ht="36" customHeight="1" x14ac:dyDescent="0.2">
      <c r="A24" s="2">
        <v>23</v>
      </c>
      <c r="B24" s="3" t="s">
        <v>38</v>
      </c>
      <c r="C24" s="3" t="s">
        <v>11</v>
      </c>
      <c r="D24" s="4" t="s">
        <v>40</v>
      </c>
      <c r="E24" s="3" t="s">
        <v>44</v>
      </c>
      <c r="F24" s="4"/>
    </row>
    <row r="25" spans="1:6" ht="36" customHeight="1" x14ac:dyDescent="0.2">
      <c r="A25" s="5">
        <v>24</v>
      </c>
      <c r="B25" s="6" t="s">
        <v>41</v>
      </c>
      <c r="C25" s="6" t="s">
        <v>11</v>
      </c>
      <c r="D25" s="7" t="s">
        <v>42</v>
      </c>
      <c r="E25" s="6" t="s">
        <v>44</v>
      </c>
      <c r="F25" s="7"/>
    </row>
  </sheetData>
  <autoFilter ref="A1:F25" xr:uid="{00000000-0009-0000-0000-000000000000}"/>
  <conditionalFormatting sqref="E2:E25">
    <cfRule type="expression" dxfId="2" priority="1">
      <formula>EXACT($E2,"Pass")</formula>
    </cfRule>
    <cfRule type="expression" dxfId="1" priority="2">
      <formula>EXACT($E2,"Partial")</formula>
    </cfRule>
    <cfRule type="expression" dxfId="0" priority="3">
      <formula>EXACT($E2,"Fail")</formula>
    </cfRule>
  </conditionalFormatting>
  <dataValidations count="1">
    <dataValidation type="list" allowBlank="1" error="Choose Pass, Partial, or Fail" prompt="Select a result" sqref="E2:E25" xr:uid="{00000000-0002-0000-0000-000000000000}">
      <formula1>"Pass,Partial,Fail"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Harting, Alden</cp:lastModifiedBy>
  <dcterms:created xsi:type="dcterms:W3CDTF">2026-04-21T01:47:25Z</dcterms:created>
  <dcterms:modified xsi:type="dcterms:W3CDTF">2026-04-21T23:22:37Z</dcterms:modified>
</cp:coreProperties>
</file>